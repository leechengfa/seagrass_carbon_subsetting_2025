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WRITE\Field_data\seagrass_carbon_2025\data\biomass\"/>
    </mc:Choice>
  </mc:AlternateContent>
  <bookViews>
    <workbookView xWindow="0" yWindow="0" windowWidth="20550" windowHeight="952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36" i="1"/>
  <c r="B34" i="1"/>
  <c r="C51" i="1" l="1"/>
  <c r="B51" i="1"/>
  <c r="C54" i="1"/>
  <c r="B42" i="1"/>
  <c r="C43" i="1"/>
  <c r="C44" i="1"/>
  <c r="B44" i="1"/>
  <c r="C45" i="1"/>
  <c r="B45" i="1"/>
</calcChain>
</file>

<file path=xl/sharedStrings.xml><?xml version="1.0" encoding="utf-8"?>
<sst xmlns="http://schemas.openxmlformats.org/spreadsheetml/2006/main" count="63" uniqueCount="63">
  <si>
    <t>Station</t>
  </si>
  <si>
    <t>A</t>
  </si>
  <si>
    <t>B</t>
  </si>
  <si>
    <t>L_01</t>
  </si>
  <si>
    <t>L_02</t>
  </si>
  <si>
    <t>L_03</t>
  </si>
  <si>
    <t>L_04</t>
  </si>
  <si>
    <t>L_05</t>
  </si>
  <si>
    <t>L_06</t>
  </si>
  <si>
    <t>L_07</t>
  </si>
  <si>
    <t>L_08</t>
  </si>
  <si>
    <t>L_09</t>
  </si>
  <si>
    <t>L_10</t>
  </si>
  <si>
    <t>L_11</t>
  </si>
  <si>
    <t>L_12</t>
  </si>
  <si>
    <t>L_13</t>
  </si>
  <si>
    <t>L_14</t>
  </si>
  <si>
    <t>L_15</t>
  </si>
  <si>
    <t>L_16</t>
  </si>
  <si>
    <t>L_17</t>
  </si>
  <si>
    <t>L_18</t>
  </si>
  <si>
    <t>L_19</t>
  </si>
  <si>
    <t>L_20</t>
  </si>
  <si>
    <t>L_21</t>
  </si>
  <si>
    <t>L_22</t>
  </si>
  <si>
    <t>L_23</t>
  </si>
  <si>
    <t>L_24</t>
  </si>
  <si>
    <t>L_25</t>
  </si>
  <si>
    <t>L_26</t>
  </si>
  <si>
    <t>L_27</t>
  </si>
  <si>
    <t>L_28</t>
  </si>
  <si>
    <t>L_29</t>
  </si>
  <si>
    <t>L_30</t>
  </si>
  <si>
    <t>H_01</t>
  </si>
  <si>
    <t>H_02</t>
  </si>
  <si>
    <t>H_03</t>
  </si>
  <si>
    <t>H_04</t>
  </si>
  <si>
    <t>H_05</t>
  </si>
  <si>
    <t>H_06</t>
  </si>
  <si>
    <t>H_07</t>
  </si>
  <si>
    <t>H_08</t>
  </si>
  <si>
    <t>H_09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</si>
  <si>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</si>
  <si>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</si>
  <si>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</si>
  <si>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</si>
  <si>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</si>
  <si>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</si>
  <si>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</si>
  <si>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</si>
  <si>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</si>
  <si>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</si>
  <si>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</si>
  <si>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</si>
  <si>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</si>
  <si>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H_23</t>
  </si>
  <si>
    <t>H_24</t>
  </si>
  <si>
    <t>H_25</t>
  </si>
  <si>
    <t>H_26</t>
  </si>
  <si>
    <t>H_27</t>
  </si>
  <si>
    <t>H_28</t>
  </si>
  <si>
    <t>H_29</t>
  </si>
  <si>
    <t>H_30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</si>
</sst>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/>
  </sheetViews>
  <sheetFormatPr defaultColWidth="11"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1.181</v>
      </c>
      <c r="C2">
        <v>1.256</v>
      </c>
    </row>
    <row r="3" spans="1:3">
      <c r="A3" t="s">
        <v>4</v>
      </c>
      <c r="B3">
        <v>1.175</v>
      </c>
      <c r="C3">
        <v>0.63600000000000001</v>
      </c>
    </row>
    <row r="4" spans="1:3">
      <c r="A4" t="s">
        <v>5</v>
      </c>
      <c r="B4">
        <v>1.909</v>
      </c>
      <c r="C4">
        <v>0.83199999999999996</v>
      </c>
    </row>
    <row r="5" spans="1:3">
      <c r="A5" t="s">
        <v>6</v>
      </c>
      <c r="B5">
        <v>0.89400000000000002</v>
      </c>
      <c r="C5">
        <v>1.121</v>
      </c>
    </row>
    <row r="6" spans="1:3">
      <c r="A6" t="s">
        <v>7</v>
      </c>
      <c r="B6">
        <v>0.93100000000000005</v>
      </c>
      <c r="C6">
        <v>1.6659999999999999</v>
      </c>
    </row>
    <row r="7" spans="1:3">
      <c r="A7" t="s">
        <v>8</v>
      </c>
      <c r="B7">
        <v>0.81200000000000006</v>
      </c>
      <c r="C7">
        <v>0.88200000000000001</v>
      </c>
    </row>
    <row r="8" spans="1:3">
      <c r="A8" t="s">
        <v>9</v>
      </c>
      <c r="B8">
        <v>0.81499999999999995</v>
      </c>
      <c r="C8">
        <v>0.32200000000000001</v>
      </c>
    </row>
    <row r="9" spans="1:3">
      <c r="A9" t="s">
        <v>10</v>
      </c>
      <c r="B9">
        <v>0.73</v>
      </c>
      <c r="C9">
        <v>0.91300000000000003</v>
      </c>
    </row>
    <row r="10" spans="1:3">
      <c r="A10" t="s">
        <v>11</v>
      </c>
      <c r="B10">
        <v>0.80700000000000005</v>
      </c>
      <c r="C10">
        <v>0.42</v>
      </c>
    </row>
    <row r="11" spans="1:3">
      <c r="A11" t="s">
        <v>12</v>
      </c>
      <c r="B11">
        <v>1.1040000000000001</v>
      </c>
      <c r="C11">
        <v>0.71699999999999997</v>
      </c>
    </row>
    <row r="12" spans="1:3">
      <c r="A12" t="s">
        <v>13</v>
      </c>
      <c r="B12">
        <v>1.5029999999999999</v>
      </c>
      <c r="C12">
        <v>1.169</v>
      </c>
    </row>
    <row r="13" spans="1:3">
      <c r="A13" t="s">
        <v>14</v>
      </c>
      <c r="B13">
        <v>0.77400000000000002</v>
      </c>
      <c r="C13">
        <v>0.875</v>
      </c>
    </row>
    <row r="14" spans="1:3">
      <c r="A14" t="s">
        <v>15</v>
      </c>
      <c r="B14">
        <v>0.93500000000000005</v>
      </c>
      <c r="C14">
        <v>1.17</v>
      </c>
    </row>
    <row r="15" spans="1:3">
      <c r="A15" t="s">
        <v>16</v>
      </c>
      <c r="B15">
        <v>0.88200000000000001</v>
      </c>
      <c r="C15">
        <v>1.0680000000000001</v>
      </c>
    </row>
    <row r="16" spans="1:3">
      <c r="A16" t="s">
        <v>17</v>
      </c>
      <c r="B16">
        <v>0.628</v>
      </c>
    </row>
    <row r="17" spans="1:3">
      <c r="A17" t="s">
        <v>18</v>
      </c>
      <c r="B17">
        <v>0.77100000000000002</v>
      </c>
      <c r="C17">
        <v>0.60899999999999999</v>
      </c>
    </row>
    <row r="18" spans="1:3">
      <c r="A18" t="s">
        <v>19</v>
      </c>
      <c r="B18">
        <v>0.626</v>
      </c>
      <c r="C18">
        <v>0.77400000000000002</v>
      </c>
    </row>
    <row r="19" spans="1:3">
      <c r="A19" t="s">
        <v>20</v>
      </c>
      <c r="B19">
        <v>1.4590000000000001</v>
      </c>
      <c r="C19">
        <v>1.2589999999999999</v>
      </c>
    </row>
    <row r="20" spans="1:3">
      <c r="A20" t="s">
        <v>21</v>
      </c>
      <c r="B20">
        <v>0.69099999999999995</v>
      </c>
      <c r="C20">
        <v>0.309</v>
      </c>
    </row>
    <row r="21" spans="1:3">
      <c r="A21" t="s">
        <v>22</v>
      </c>
      <c r="B21">
        <v>5.8000000000000003E-2</v>
      </c>
      <c r="C21">
        <v>0.108</v>
      </c>
    </row>
    <row r="22" spans="1:3">
      <c r="A22" t="s">
        <v>23</v>
      </c>
      <c r="B22">
        <v>0.71799999999999997</v>
      </c>
      <c r="C22">
        <v>1.0960000000000001</v>
      </c>
    </row>
    <row r="23" spans="1:3">
      <c r="A23" t="s">
        <v>24</v>
      </c>
      <c r="B23">
        <v>0.248</v>
      </c>
      <c r="C23">
        <v>0.51200000000000001</v>
      </c>
    </row>
    <row r="24" spans="1:3">
      <c r="A24" t="s">
        <v>25</v>
      </c>
      <c r="B24">
        <v>0.249</v>
      </c>
      <c r="C24">
        <v>0.54700000000000004</v>
      </c>
    </row>
    <row r="25" spans="1:3">
      <c r="A25" t="s">
        <v>26</v>
      </c>
      <c r="B25">
        <v>0.32700000000000001</v>
      </c>
      <c r="C25">
        <v>0.32600000000000001</v>
      </c>
    </row>
    <row r="26" spans="1:3">
      <c r="A26" t="s">
        <v>27</v>
      </c>
      <c r="B26">
        <v>0.15</v>
      </c>
      <c r="C26">
        <v>0.22900000000000001</v>
      </c>
    </row>
    <row r="27" spans="1:3">
      <c r="A27" t="s">
        <v>28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0</v>
      </c>
      <c r="C29">
        <v>0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1.4950000000000001</v>
      </c>
      <c r="C32">
        <v>0.91600000000000004</v>
      </c>
    </row>
    <row r="33" spans="1:3">
      <c r="A33" t="s">
        <v>34</v>
      </c>
      <c r="B33">
        <v>1.657</v>
      </c>
      <c r="C33">
        <v>1.845</v>
      </c>
    </row>
    <row r="34" spans="1:3">
      <c r="A34" t="s">
        <v>35</v>
      </c>
      <c r="B34">
        <f>1.86-0.004-0.0096</f>
        <v>1.8464</v>
      </c>
      <c r="C34">
        <v>1.748</v>
      </c>
    </row>
    <row r="35" spans="1:3">
      <c r="A35" t="s">
        <v>36</v>
      </c>
      <c r="B35">
        <v>0.151</v>
      </c>
      <c r="C35">
        <v>0.32100000000000001</v>
      </c>
    </row>
    <row r="36" spans="1:3">
      <c r="A36" t="s">
        <v>37</v>
      </c>
      <c r="B36">
        <v>0.91600000000000004</v>
      </c>
      <c r="C36">
        <f>1.369-0.0038</f>
        <v>1.3652</v>
      </c>
    </row>
    <row r="37" spans="1:3">
      <c r="A37" t="s">
        <v>38</v>
      </c>
      <c r="B37">
        <v>1.4470000000000001</v>
      </c>
      <c r="C37">
        <v>1.4570000000000001</v>
      </c>
    </row>
    <row r="38" spans="1:3">
      <c r="A38" t="s">
        <v>39</v>
      </c>
      <c r="B38">
        <v>1.2869999999999999</v>
      </c>
      <c r="C38">
        <v>0.98699999999999999</v>
      </c>
    </row>
    <row r="39" spans="1:3">
      <c r="A39" t="s">
        <v>40</v>
      </c>
      <c r="B39">
        <v>1.44</v>
      </c>
      <c r="C39">
        <v>1.339</v>
      </c>
    </row>
    <row r="40" spans="1:3">
      <c r="A40" t="s">
        <v>41</v>
      </c>
      <c r="B40">
        <v>1.766</v>
      </c>
      <c r="C40">
        <v>0.76200000000000001</v>
      </c>
    </row>
    <row r="41" spans="1:3">
      <c r="A41" t="s">
        <v>42</v>
      </c>
      <c r="B41">
        <v>0.64100000000000001</v>
      </c>
      <c r="C41">
        <v>0.626</v>
      </c>
    </row>
    <row r="42" spans="1:3">
      <c r="A42" t="s">
        <v>43</v>
      </c>
      <c r="B42">
        <f>0.804-0.001</f>
        <v>0.80300000000000005</v>
      </c>
      <c r="C42">
        <v>0.53700000000000003</v>
      </c>
    </row>
    <row r="43" spans="1:3">
      <c r="A43" t="s">
        <v>44</v>
      </c>
      <c r="B43">
        <v>0.86299999999999999</v>
      </c>
      <c r="C43">
        <f>0.97-0.02</f>
        <v>0.95</v>
      </c>
    </row>
    <row r="44" spans="1:3">
      <c r="A44" t="s">
        <v>45</v>
      </c>
      <c r="B44">
        <f>1.411-0.026</f>
        <v>1.385</v>
      </c>
      <c r="C44">
        <f>1.781-0.078</f>
        <v>1.7029999999999998</v>
      </c>
    </row>
    <row r="45" spans="1:3">
      <c r="A45" t="s">
        <v>46</v>
      </c>
      <c r="B45">
        <f>1.845-0.004</f>
        <v>1.841</v>
      </c>
      <c r="C45">
        <f>0.937-0.015</f>
        <v>0.92200000000000004</v>
      </c>
    </row>
    <row r="46" spans="1:3">
      <c r="A46" t="s">
        <v>47</v>
      </c>
      <c r="B46">
        <v>0.41799999999999998</v>
      </c>
      <c r="C46">
        <v>0.20200000000000001</v>
      </c>
    </row>
    <row r="47" spans="1:3">
      <c r="A47" t="s">
        <v>48</v>
      </c>
      <c r="B47">
        <v>1.365</v>
      </c>
      <c r="C47">
        <v>1.079</v>
      </c>
    </row>
    <row r="48" spans="1:3">
      <c r="A48" t="s">
        <v>49</v>
      </c>
      <c r="B48">
        <v>1.379</v>
      </c>
      <c r="C48">
        <v>0.33</v>
      </c>
    </row>
    <row r="49" spans="1:3">
      <c r="A49" t="s">
        <v>50</v>
      </c>
      <c r="B49">
        <v>0.60499999999999998</v>
      </c>
      <c r="C49">
        <v>0.54900000000000004</v>
      </c>
    </row>
    <row r="50" spans="1:3">
      <c r="A50" t="s">
        <v>51</v>
      </c>
      <c r="B50">
        <v>0.64</v>
      </c>
      <c r="C50">
        <v>0.49</v>
      </c>
    </row>
    <row r="51" spans="1:3">
      <c r="A51" t="s">
        <v>52</v>
      </c>
      <c r="B51">
        <f>2.372-0.058</f>
        <v>2.3140000000000001</v>
      </c>
      <c r="C51">
        <f>1.629-0.048-0.011-0.004</f>
        <v>1.5660000000000001</v>
      </c>
    </row>
    <row r="52" spans="1:3">
      <c r="A52" t="s">
        <v>53</v>
      </c>
      <c r="B52">
        <v>0.46200000000000002</v>
      </c>
      <c r="C52">
        <v>0.14299999999999999</v>
      </c>
    </row>
    <row r="53" spans="1:3">
      <c r="A53" t="s">
        <v>54</v>
      </c>
      <c r="B53">
        <v>0.22900000000000001</v>
      </c>
      <c r="C53">
        <v>0.42099999999999999</v>
      </c>
    </row>
    <row r="54" spans="1:3">
      <c r="A54" t="s">
        <v>55</v>
      </c>
      <c r="B54">
        <v>0.76600000000000001</v>
      </c>
      <c r="C54">
        <f>0.294-0.006</f>
        <v>0.28799999999999998</v>
      </c>
    </row>
    <row r="55" spans="1:3">
      <c r="A55" t="s">
        <v>56</v>
      </c>
      <c r="B55">
        <v>1.139</v>
      </c>
      <c r="C55">
        <v>0.38200000000000001</v>
      </c>
    </row>
    <row r="56" spans="1:3">
      <c r="A56" t="s">
        <v>57</v>
      </c>
      <c r="B56">
        <v>1.879</v>
      </c>
      <c r="C56">
        <v>1.1819999999999999</v>
      </c>
    </row>
    <row r="57" spans="1:3">
      <c r="A57" t="s">
        <v>58</v>
      </c>
      <c r="B57">
        <v>0.36499999999999999</v>
      </c>
      <c r="C57">
        <v>0.128</v>
      </c>
    </row>
    <row r="58" spans="1:3">
      <c r="A58" t="s">
        <v>59</v>
      </c>
      <c r="B58">
        <v>1.29</v>
      </c>
      <c r="C58">
        <v>0.93400000000000005</v>
      </c>
    </row>
    <row r="59" spans="1:3">
      <c r="A59" t="s">
        <v>60</v>
      </c>
      <c r="B59">
        <v>0.76800000000000002</v>
      </c>
      <c r="C59">
        <v>0.78700000000000003</v>
      </c>
    </row>
    <row r="60" spans="1:3">
      <c r="A60" t="s">
        <v>61</v>
      </c>
      <c r="B60">
        <v>1.024</v>
      </c>
      <c r="C60">
        <v>0.627</v>
      </c>
    </row>
    <row r="61" spans="1:3">
      <c r="A61" t="s">
        <v>62</v>
      </c>
      <c r="B61">
        <v>1.2170000000000001</v>
      </c>
      <c r="C61">
        <f>0.951-0.0124</f>
        <v>0.93859999999999999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oiry</dc:creator>
  <cp:lastModifiedBy>barille-l</cp:lastModifiedBy>
  <dcterms:created xsi:type="dcterms:W3CDTF">2025-09-16T12:14:44Z</dcterms:created>
  <dcterms:modified xsi:type="dcterms:W3CDTF">2026-01-22T10:20:45Z</dcterms:modified>
</cp:coreProperties>
</file>